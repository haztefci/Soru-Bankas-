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ayf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  <c r="C4" i="1" s="1"/>
  <c r="D4" i="1" s="1"/>
  <c r="B5" i="1"/>
  <c r="C5" i="1" s="1"/>
  <c r="D5" i="1" s="1"/>
  <c r="B6" i="1"/>
  <c r="C6" i="1" s="1"/>
  <c r="D6" i="1" s="1"/>
  <c r="B7" i="1"/>
  <c r="C7" i="1" s="1"/>
  <c r="D7" i="1" s="1"/>
  <c r="B8" i="1"/>
  <c r="C8" i="1" s="1"/>
  <c r="D8" i="1" s="1"/>
  <c r="B3" i="1"/>
  <c r="C3" i="1" s="1"/>
  <c r="D3" i="1" s="1"/>
  <c r="E7" i="1" l="1"/>
  <c r="F7" i="1" s="1"/>
  <c r="E6" i="1"/>
  <c r="F6" i="1" s="1"/>
  <c r="E5" i="1"/>
  <c r="F5" i="1" s="1"/>
  <c r="E8" i="1"/>
  <c r="F8" i="1" s="1"/>
  <c r="E3" i="1"/>
  <c r="G5" i="1"/>
  <c r="G7" i="1"/>
  <c r="E4" i="1"/>
  <c r="G6" i="1"/>
  <c r="G8" i="1" l="1"/>
  <c r="G3" i="1"/>
  <c r="F3" i="1"/>
  <c r="G4" i="1"/>
  <c r="F4" i="1"/>
</calcChain>
</file>

<file path=xl/sharedStrings.xml><?xml version="1.0" encoding="utf-8"?>
<sst xmlns="http://schemas.openxmlformats.org/spreadsheetml/2006/main" count="18" uniqueCount="17">
  <si>
    <t>KDV %20</t>
  </si>
  <si>
    <t>GELİR VERGİSİ DİLİMLERİ</t>
  </si>
  <si>
    <t>ORANI</t>
  </si>
  <si>
    <t>2026 YILI</t>
  </si>
  <si>
    <t>ÜYE SAYISI</t>
  </si>
  <si>
    <t>GELİR VERGİSİ</t>
  </si>
  <si>
    <t>NET ELE GEÇEN</t>
  </si>
  <si>
    <t>YATIRDIĞI PARA</t>
  </si>
  <si>
    <t>KDV HARİÇ TUTAR</t>
  </si>
  <si>
    <t>VERGİ TOPLAMI</t>
  </si>
  <si>
    <t>İNDİRİLECEK GİDERLER</t>
  </si>
  <si>
    <t>TUTARI</t>
  </si>
  <si>
    <t>Hosting</t>
  </si>
  <si>
    <t>Domain</t>
  </si>
  <si>
    <t>VERGİ HESABI</t>
  </si>
  <si>
    <t>KDV BEYANNAMESİ HER AY</t>
  </si>
  <si>
    <t>GELİR VERGİSİ BEYANNAMESİ YILDA BİR MART AYINDA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</si>
</sst>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₺&quot;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b/>
      <sz val="11"/>
      <color rgb="FFFF0000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0" quotePrefix="1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"/>
  <sheetViews>
    <sheetView tabSelected="1" workbookViewId="0">
      <selection activeCell="I15" sqref="I15"/>
    </sheetView>
  </sheetViews>
  <sheetFormatPr defaultRowHeight="14.4" x14ac:dyDescent="0.3"/>
  <cols>
    <col min="1" max="1" width="11.33203125" style="3" customWidth="1"/>
    <col min="2" max="2" width="14.6640625" style="2" bestFit="1" customWidth="1"/>
    <col min="3" max="3" width="16.44140625" style="2" bestFit="1" customWidth="1"/>
    <col min="4" max="4" width="10" style="2" bestFit="1" customWidth="1"/>
    <col min="5" max="5" width="12.88671875" style="2" bestFit="1" customWidth="1"/>
    <col min="6" max="6" width="14.5546875" style="2" bestFit="1" customWidth="1"/>
    <col min="7" max="7" width="13.88671875" style="2" bestFit="1" customWidth="1"/>
    <col min="8" max="8" width="8.88671875" style="1"/>
    <col min="9" max="9" width="23" style="1" customWidth="1"/>
  </cols>
  <sheetData>
    <row r="1" spans="1:10" x14ac:dyDescent="0.3">
      <c r="A1" s="12" t="s">
        <v>14</v>
      </c>
      <c r="B1" s="12"/>
      <c r="C1" s="12"/>
      <c r="D1" s="12"/>
      <c r="E1" s="12"/>
      <c r="F1" s="12"/>
      <c r="G1" s="12"/>
      <c r="I1" s="11" t="s">
        <v>3</v>
      </c>
      <c r="J1" s="11"/>
    </row>
    <row r="2" spans="1:10" x14ac:dyDescent="0.3">
      <c r="A2" s="9" t="s">
        <v>4</v>
      </c>
      <c r="B2" s="8" t="s">
        <v>7</v>
      </c>
      <c r="C2" s="8" t="s">
        <v>8</v>
      </c>
      <c r="D2" s="8" t="s">
        <v>0</v>
      </c>
      <c r="E2" s="8" t="s">
        <v>5</v>
      </c>
      <c r="F2" s="8" t="s">
        <v>9</v>
      </c>
      <c r="G2" s="8" t="s">
        <v>6</v>
      </c>
      <c r="I2" s="8" t="s">
        <v>1</v>
      </c>
      <c r="J2" s="9" t="s">
        <v>2</v>
      </c>
    </row>
    <row r="3" spans="1:10" x14ac:dyDescent="0.3">
      <c r="A3" s="5">
        <v>1</v>
      </c>
      <c r="B3" s="4">
        <f>A3*1499</f>
        <v>1499</v>
      </c>
      <c r="C3" s="4">
        <f t="shared" ref="C3:C8" si="0">B3/1.2</f>
        <v>1249.1666666666667</v>
      </c>
      <c r="D3" s="4">
        <f t="shared" ref="D3:D8" si="1">C3*0.2</f>
        <v>249.83333333333337</v>
      </c>
      <c r="E3" s="4">
        <f>C3*0.27</f>
        <v>337.27500000000003</v>
      </c>
      <c r="F3" s="4">
        <f>E3+D3</f>
        <v>587.10833333333335</v>
      </c>
      <c r="G3" s="4">
        <f>C3-E3</f>
        <v>911.89166666666665</v>
      </c>
      <c r="I3" s="4">
        <v>190000</v>
      </c>
      <c r="J3" s="6">
        <v>0.15</v>
      </c>
    </row>
    <row r="4" spans="1:10" x14ac:dyDescent="0.3">
      <c r="A4" s="5">
        <v>400</v>
      </c>
      <c r="B4" s="4">
        <f t="shared" ref="B4:B8" si="2">A4*1499</f>
        <v>599600</v>
      </c>
      <c r="C4" s="4">
        <f t="shared" si="0"/>
        <v>499666.66666666669</v>
      </c>
      <c r="D4" s="4">
        <f t="shared" si="1"/>
        <v>99933.333333333343</v>
      </c>
      <c r="E4" s="4">
        <f>C4*0.27</f>
        <v>134910</v>
      </c>
      <c r="F4" s="4">
        <f t="shared" ref="F4:F8" si="3">E4+D4</f>
        <v>234843.33333333334</v>
      </c>
      <c r="G4" s="4">
        <f t="shared" ref="G4:G8" si="4">C4-E4</f>
        <v>364756.66666666669</v>
      </c>
      <c r="I4" s="4">
        <v>400000</v>
      </c>
      <c r="J4" s="6">
        <v>0.2</v>
      </c>
    </row>
    <row r="5" spans="1:10" x14ac:dyDescent="0.3">
      <c r="A5" s="5"/>
      <c r="B5" s="4">
        <f t="shared" si="2"/>
        <v>0</v>
      </c>
      <c r="C5" s="4">
        <f t="shared" si="0"/>
        <v>0</v>
      </c>
      <c r="D5" s="4">
        <f t="shared" si="1"/>
        <v>0</v>
      </c>
      <c r="E5" s="4">
        <f t="shared" ref="E5:E7" si="5">C5*0.27</f>
        <v>0</v>
      </c>
      <c r="F5" s="4">
        <f t="shared" si="3"/>
        <v>0</v>
      </c>
      <c r="G5" s="4">
        <f t="shared" si="4"/>
        <v>0</v>
      </c>
      <c r="I5" s="4">
        <v>1000000</v>
      </c>
      <c r="J5" s="6">
        <v>0.27</v>
      </c>
    </row>
    <row r="6" spans="1:10" x14ac:dyDescent="0.3">
      <c r="A6" s="5"/>
      <c r="B6" s="4">
        <f t="shared" si="2"/>
        <v>0</v>
      </c>
      <c r="C6" s="4">
        <f t="shared" si="0"/>
        <v>0</v>
      </c>
      <c r="D6" s="4">
        <f t="shared" si="1"/>
        <v>0</v>
      </c>
      <c r="E6" s="4">
        <f t="shared" si="5"/>
        <v>0</v>
      </c>
      <c r="F6" s="4">
        <f t="shared" si="3"/>
        <v>0</v>
      </c>
      <c r="G6" s="4">
        <f t="shared" si="4"/>
        <v>0</v>
      </c>
      <c r="I6" s="4">
        <v>5300000</v>
      </c>
      <c r="J6" s="7">
        <v>0.35</v>
      </c>
    </row>
    <row r="7" spans="1:10" x14ac:dyDescent="0.3">
      <c r="A7" s="5"/>
      <c r="B7" s="4">
        <f t="shared" si="2"/>
        <v>0</v>
      </c>
      <c r="C7" s="4">
        <f t="shared" si="0"/>
        <v>0</v>
      </c>
      <c r="D7" s="4">
        <f t="shared" si="1"/>
        <v>0</v>
      </c>
      <c r="E7" s="4">
        <f t="shared" si="5"/>
        <v>0</v>
      </c>
      <c r="F7" s="4">
        <f t="shared" si="3"/>
        <v>0</v>
      </c>
      <c r="G7" s="4">
        <f t="shared" si="4"/>
        <v>0</v>
      </c>
    </row>
    <row r="8" spans="1:10" x14ac:dyDescent="0.3">
      <c r="A8" s="5"/>
      <c r="B8" s="4">
        <f t="shared" si="2"/>
        <v>0</v>
      </c>
      <c r="C8" s="4">
        <f t="shared" si="0"/>
        <v>0</v>
      </c>
      <c r="D8" s="4">
        <f t="shared" si="1"/>
        <v>0</v>
      </c>
      <c r="E8" s="4">
        <f>C8*0.27</f>
        <v>0</v>
      </c>
      <c r="F8" s="4">
        <f t="shared" si="3"/>
        <v>0</v>
      </c>
      <c r="G8" s="4">
        <f t="shared" si="4"/>
        <v>0</v>
      </c>
    </row>
    <row r="9" spans="1:10" x14ac:dyDescent="0.3">
      <c r="A9" s="5"/>
      <c r="B9" s="4"/>
      <c r="C9" s="4"/>
      <c r="D9" s="4"/>
      <c r="E9" s="4"/>
      <c r="F9" s="4"/>
      <c r="G9" s="4"/>
      <c r="I9" s="18" t="s">
        <v>15</v>
      </c>
    </row>
    <row r="10" spans="1:10" x14ac:dyDescent="0.3">
      <c r="A10" s="5"/>
      <c r="B10" s="4"/>
      <c r="C10" s="4"/>
      <c r="D10" s="4"/>
      <c r="E10" s="4"/>
      <c r="F10" s="4"/>
      <c r="G10" s="4"/>
      <c r="I10" s="18" t="s">
        <v>16</v>
      </c>
    </row>
    <row r="11" spans="1:10" x14ac:dyDescent="0.3">
      <c r="A11" s="5"/>
      <c r="B11" s="4"/>
      <c r="C11" s="4"/>
      <c r="D11" s="4"/>
      <c r="E11" s="4"/>
      <c r="F11" s="4"/>
      <c r="G11" s="4"/>
    </row>
    <row r="13" spans="1:10" x14ac:dyDescent="0.3">
      <c r="A13" s="12" t="s">
        <v>10</v>
      </c>
      <c r="B13" s="12"/>
      <c r="C13" s="12"/>
      <c r="D13" s="12"/>
      <c r="E13" s="12"/>
      <c r="F13" s="12"/>
      <c r="G13" s="12"/>
    </row>
    <row r="14" spans="1:10" x14ac:dyDescent="0.3">
      <c r="A14" s="16" t="s">
        <v>10</v>
      </c>
      <c r="B14" s="16"/>
      <c r="C14" s="16"/>
      <c r="D14" s="17" t="s">
        <v>11</v>
      </c>
      <c r="E14" s="17"/>
      <c r="F14" s="17"/>
      <c r="G14" s="17"/>
    </row>
    <row r="15" spans="1:10" x14ac:dyDescent="0.3">
      <c r="A15" s="14" t="s">
        <v>12</v>
      </c>
      <c r="B15" s="14"/>
      <c r="C15" s="14"/>
      <c r="D15" s="13">
        <v>6000</v>
      </c>
      <c r="E15" s="13"/>
      <c r="F15" s="13"/>
      <c r="G15" s="13"/>
    </row>
    <row r="16" spans="1:10" x14ac:dyDescent="0.3">
      <c r="A16" s="14" t="s">
        <v>13</v>
      </c>
      <c r="B16" s="14"/>
      <c r="C16" s="14"/>
      <c r="D16" s="13">
        <v>1500</v>
      </c>
      <c r="E16" s="13"/>
      <c r="F16" s="13"/>
      <c r="G16" s="13"/>
    </row>
    <row r="17" spans="1:7" x14ac:dyDescent="0.3">
      <c r="A17" s="14"/>
      <c r="B17" s="14"/>
      <c r="C17" s="14"/>
      <c r="D17" s="13"/>
      <c r="E17" s="13"/>
      <c r="F17" s="13"/>
      <c r="G17" s="13"/>
    </row>
    <row r="18" spans="1:7" x14ac:dyDescent="0.3">
      <c r="A18" s="14"/>
      <c r="B18" s="14"/>
      <c r="C18" s="14"/>
      <c r="D18" s="13"/>
      <c r="E18" s="13"/>
      <c r="F18" s="13"/>
      <c r="G18" s="13"/>
    </row>
    <row r="19" spans="1:7" x14ac:dyDescent="0.3">
      <c r="A19" s="14"/>
      <c r="B19" s="14"/>
      <c r="C19" s="14"/>
      <c r="D19" s="13"/>
      <c r="E19" s="13"/>
      <c r="F19" s="13"/>
      <c r="G19" s="13"/>
    </row>
    <row r="20" spans="1:7" x14ac:dyDescent="0.3">
      <c r="A20" s="14"/>
      <c r="B20" s="14"/>
      <c r="C20" s="14"/>
      <c r="D20" s="13"/>
      <c r="E20" s="13"/>
      <c r="F20" s="13"/>
      <c r="G20" s="13"/>
    </row>
    <row r="21" spans="1:7" x14ac:dyDescent="0.3">
      <c r="A21" s="14"/>
      <c r="B21" s="14"/>
      <c r="C21" s="14"/>
      <c r="D21" s="13"/>
      <c r="E21" s="13"/>
      <c r="F21" s="13"/>
      <c r="G21" s="13"/>
    </row>
    <row r="22" spans="1:7" x14ac:dyDescent="0.3">
      <c r="A22" s="14"/>
      <c r="B22" s="14"/>
      <c r="C22" s="14"/>
      <c r="D22" s="13"/>
      <c r="E22" s="13"/>
      <c r="F22" s="13"/>
      <c r="G22" s="13"/>
    </row>
    <row r="23" spans="1:7" x14ac:dyDescent="0.3">
      <c r="A23" s="14"/>
      <c r="B23" s="14"/>
      <c r="C23" s="14"/>
      <c r="D23" s="13"/>
      <c r="E23" s="13"/>
      <c r="F23" s="13"/>
      <c r="G23" s="13"/>
    </row>
    <row r="24" spans="1:7" x14ac:dyDescent="0.3">
      <c r="A24" s="15"/>
      <c r="B24" s="15"/>
      <c r="C24" s="15"/>
      <c r="D24" s="10"/>
      <c r="E24" s="10"/>
      <c r="F24" s="10"/>
      <c r="G24" s="10"/>
    </row>
  </sheetData>
  <mergeCells count="25">
    <mergeCell ref="D14:G14"/>
    <mergeCell ref="D15:G15"/>
    <mergeCell ref="D16:G16"/>
    <mergeCell ref="D17:G17"/>
    <mergeCell ref="A14:C14"/>
    <mergeCell ref="A15:C15"/>
    <mergeCell ref="A16:C16"/>
    <mergeCell ref="A17:C17"/>
    <mergeCell ref="A18:C18"/>
    <mergeCell ref="D24:G24"/>
    <mergeCell ref="I1:J1"/>
    <mergeCell ref="A1:G1"/>
    <mergeCell ref="A13:G13"/>
    <mergeCell ref="D18:G18"/>
    <mergeCell ref="D19:G19"/>
    <mergeCell ref="D20:G20"/>
    <mergeCell ref="D21:G21"/>
    <mergeCell ref="D22:G22"/>
    <mergeCell ref="D23:G23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2026-07-16T07:20:12Z</dcterms:modified>
</cp:coreProperties>
</file>